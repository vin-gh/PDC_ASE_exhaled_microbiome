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Article3\Codes\Data\"/>
    </mc:Choice>
  </mc:AlternateContent>
  <xr:revisionPtr revIDLastSave="0" documentId="13_ncr:1_{F3C3AE93-1164-40D3-BE02-40DECDB477E2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2" i="2"/>
  <c r="Q3" i="2"/>
  <c r="Q4" i="2"/>
  <c r="Q5" i="2"/>
  <c r="Q6" i="2"/>
  <c r="Q7" i="2"/>
  <c r="Q8" i="2"/>
  <c r="Q9" i="2"/>
  <c r="Q10" i="2"/>
  <c r="Q11" i="2"/>
  <c r="Q12" i="2"/>
  <c r="Q13" i="2"/>
  <c r="Q2" i="2"/>
  <c r="P3" i="2"/>
  <c r="P4" i="2"/>
  <c r="P5" i="2"/>
  <c r="P6" i="2"/>
  <c r="P7" i="2"/>
  <c r="P8" i="2"/>
  <c r="P9" i="2"/>
  <c r="P10" i="2"/>
  <c r="P11" i="2"/>
  <c r="P12" i="2"/>
  <c r="P13" i="2"/>
  <c r="P2" i="2"/>
  <c r="N12" i="2"/>
  <c r="N15" i="2"/>
  <c r="N10" i="2"/>
  <c r="L2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4" i="2"/>
</calcChain>
</file>

<file path=xl/sharedStrings.xml><?xml version="1.0" encoding="utf-8"?>
<sst xmlns="http://schemas.openxmlformats.org/spreadsheetml/2006/main" count="79" uniqueCount="60">
  <si>
    <t>Source</t>
  </si>
  <si>
    <t>Size range Di(um)</t>
    <phoneticPr fontId="1" type="noConversion"/>
  </si>
  <si>
    <t>aerosol volume concentration CVD (uL/m³)</t>
    <phoneticPr fontId="1" type="noConversion"/>
  </si>
  <si>
    <t>Respiratory activity mode</t>
  </si>
  <si>
    <t xml:space="preserve">1/Rsc </t>
    <phoneticPr fontId="1" type="noConversion"/>
  </si>
  <si>
    <t>Ref</t>
    <phoneticPr fontId="1" type="noConversion"/>
  </si>
  <si>
    <t>Experiment source</t>
    <phoneticPr fontId="1" type="noConversion"/>
  </si>
  <si>
    <t>&lt;=20</t>
  </si>
  <si>
    <r>
      <t xml:space="preserve">3.74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Symbol"/>
        <family val="1"/>
        <charset val="2"/>
      </rPr>
      <t>-</t>
    </r>
    <r>
      <rPr>
        <vertAlign val="superscript"/>
        <sz val="12"/>
        <color theme="1"/>
        <rFont val="Times New Roman"/>
        <family val="1"/>
      </rPr>
      <t>1</t>
    </r>
  </si>
  <si>
    <t>Aerosol Generator</t>
    <phoneticPr fontId="1" type="noConversion"/>
  </si>
  <si>
    <t>This study</t>
    <phoneticPr fontId="1" type="noConversion"/>
  </si>
  <si>
    <t>Human source</t>
    <phoneticPr fontId="1" type="noConversion"/>
  </si>
  <si>
    <t>Modeling</t>
    <phoneticPr fontId="1" type="noConversion"/>
  </si>
  <si>
    <t>&lt;=5.5</t>
    <phoneticPr fontId="1" type="noConversion"/>
  </si>
  <si>
    <r>
      <t xml:space="preserve">2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-3</t>
    </r>
  </si>
  <si>
    <t>Breathing</t>
  </si>
  <si>
    <t>Buonanno et al.</t>
    <phoneticPr fontId="1" type="noConversion"/>
  </si>
  <si>
    <r>
      <t xml:space="preserve">9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-3</t>
    </r>
  </si>
  <si>
    <t>Speaking</t>
  </si>
  <si>
    <t>&lt;=20</t>
    <phoneticPr fontId="1" type="noConversion"/>
  </si>
  <si>
    <r>
      <t xml:space="preserve">3.24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-4</t>
    </r>
  </si>
  <si>
    <t>Schijven et al.</t>
    <phoneticPr fontId="1" type="noConversion"/>
  </si>
  <si>
    <r>
      <t xml:space="preserve">2.65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-3</t>
    </r>
  </si>
  <si>
    <r>
      <t xml:space="preserve">3.16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-2</t>
    </r>
  </si>
  <si>
    <t>Singing</t>
  </si>
  <si>
    <t>Experiment</t>
    <phoneticPr fontId="1" type="noConversion"/>
  </si>
  <si>
    <t>0.5~20</t>
    <phoneticPr fontId="1" type="noConversion"/>
  </si>
  <si>
    <r>
      <t xml:space="preserve">1.47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-6</t>
    </r>
  </si>
  <si>
    <t>Breathing</t>
    <phoneticPr fontId="1" type="noConversion"/>
  </si>
  <si>
    <t>Orton et al.</t>
    <phoneticPr fontId="1" type="noConversion"/>
  </si>
  <si>
    <r>
      <t xml:space="preserve">1.86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-4</t>
    </r>
  </si>
  <si>
    <r>
      <t xml:space="preserve">3.72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-4</t>
    </r>
    <phoneticPr fontId="1" type="noConversion"/>
  </si>
  <si>
    <t>Archer et al</t>
    <phoneticPr fontId="1" type="noConversion"/>
  </si>
  <si>
    <r>
      <t xml:space="preserve">4.26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-4</t>
    </r>
    <phoneticPr fontId="1" type="noConversion"/>
  </si>
  <si>
    <r>
      <t xml:space="preserve">1.39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-3</t>
    </r>
  </si>
  <si>
    <r>
      <t xml:space="preserve">1.71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-4</t>
    </r>
    <phoneticPr fontId="1" type="noConversion"/>
  </si>
  <si>
    <t>Harrison et al</t>
    <phoneticPr fontId="1" type="noConversion"/>
  </si>
  <si>
    <r>
      <t xml:space="preserve">2.19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-4</t>
    </r>
    <phoneticPr fontId="1" type="noConversion"/>
  </si>
  <si>
    <r>
      <t xml:space="preserve">6.02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-4</t>
    </r>
    <phoneticPr fontId="1" type="noConversion"/>
  </si>
  <si>
    <r>
      <t xml:space="preserve">1.84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-4</t>
    </r>
    <phoneticPr fontId="1" type="noConversion"/>
  </si>
  <si>
    <t>Shen et al</t>
    <phoneticPr fontId="1" type="noConversion"/>
  </si>
  <si>
    <r>
      <t xml:space="preserve">4.45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-1</t>
    </r>
    <phoneticPr fontId="1" type="noConversion"/>
  </si>
  <si>
    <t>0.3~25</t>
    <phoneticPr fontId="1" type="noConversion"/>
  </si>
  <si>
    <r>
      <t xml:space="preserve">4.94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-4</t>
    </r>
  </si>
  <si>
    <t>Fleischer et al.</t>
    <phoneticPr fontId="1" type="noConversion"/>
  </si>
  <si>
    <r>
      <t xml:space="preserve">7.45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-2</t>
    </r>
  </si>
  <si>
    <r>
      <t xml:space="preserve">5.46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-1</t>
    </r>
  </si>
  <si>
    <t>0.05~1000</t>
    <phoneticPr fontId="1" type="noConversion"/>
  </si>
  <si>
    <r>
      <t xml:space="preserve">8.28 </t>
    </r>
    <r>
      <rPr>
        <sz val="12"/>
        <color theme="1"/>
        <rFont val="Symbol"/>
        <family val="1"/>
        <charset val="2"/>
      </rPr>
      <t>´</t>
    </r>
    <r>
      <rPr>
        <sz val="12"/>
        <color theme="1"/>
        <rFont val="Times New Roman"/>
        <family val="1"/>
      </rPr>
      <t xml:space="preserve"> 10</t>
    </r>
    <r>
      <rPr>
        <vertAlign val="superscript"/>
        <sz val="12"/>
        <color theme="1"/>
        <rFont val="Times New Roman"/>
        <family val="1"/>
      </rPr>
      <t>-3</t>
    </r>
  </si>
  <si>
    <t>Bagheri et al.</t>
    <phoneticPr fontId="1" type="noConversion"/>
  </si>
  <si>
    <t>IR  L/min</t>
    <phoneticPr fontId="1" type="noConversion"/>
  </si>
  <si>
    <t>ERV uL/min</t>
    <phoneticPr fontId="1" type="noConversion"/>
  </si>
  <si>
    <t>AV_SRV uL/min</t>
    <phoneticPr fontId="1" type="noConversion"/>
  </si>
  <si>
    <t>SRV uL/ 10 min</t>
    <phoneticPr fontId="1" type="noConversion"/>
  </si>
  <si>
    <t>Aerosol Volume Proportion</t>
    <phoneticPr fontId="1" type="noConversion"/>
  </si>
  <si>
    <t>Orton et al.</t>
  </si>
  <si>
    <t>Archer et al.</t>
  </si>
  <si>
    <t>Archer et al.</t>
    <phoneticPr fontId="1" type="noConversion"/>
  </si>
  <si>
    <t>Harrison et al.</t>
  </si>
  <si>
    <t>Harrison et al.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</si>
</sst>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vertAlign val="superscript"/>
      <sz val="12"/>
      <color theme="1"/>
      <name val="Symbol"/>
      <family val="1"/>
      <charset val="2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3" fillId="0" borderId="2" xfId="0" applyFont="1" applyBorder="1" applyAlignment="1">
      <alignment horizontal="justify" vertical="center" wrapText="1"/>
    </xf>
    <xf numFmtId="0" fontId="3" fillId="0" borderId="0" xfId="0" applyFont="1" applyAlignment="1">
      <alignment horizontal="center" vertical="center"/>
    </xf>
    <xf numFmtId="11" fontId="3" fillId="0" borderId="0" xfId="0" applyNumberFormat="1" applyFont="1"/>
    <xf numFmtId="11" fontId="3" fillId="0" borderId="0" xfId="0" applyNumberFormat="1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M31" sqref="M31"/>
    </sheetView>
  </sheetViews>
  <sheetFormatPr defaultRowHeight="14" x14ac:dyDescent="0.3"/>
  <sheetData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3AC3-8DF6-4A9B-84A1-583C4318CEB0}">
  <dimension ref="A1:AJ23"/>
  <sheetViews>
    <sheetView tabSelected="1" topLeftCell="O1" workbookViewId="0">
      <selection activeCell="AA17" sqref="AA17"/>
    </sheetView>
  </sheetViews>
  <sheetFormatPr defaultRowHeight="14" x14ac:dyDescent="0.3"/>
  <cols>
    <col min="1" max="1" width="16.08203125" bestFit="1" customWidth="1"/>
    <col min="2" max="2" width="16.9140625" bestFit="1" customWidth="1"/>
    <col min="3" max="3" width="36.6640625" bestFit="1" customWidth="1"/>
    <col min="4" max="4" width="36.6640625" customWidth="1"/>
    <col min="5" max="5" width="21.9140625" bestFit="1" customWidth="1"/>
    <col min="6" max="6" width="10.1640625" bestFit="1" customWidth="1"/>
    <col min="7" max="7" width="14.1640625" bestFit="1" customWidth="1"/>
    <col min="9" max="9" width="10.25" bestFit="1" customWidth="1"/>
    <col min="11" max="11" width="13.5" bestFit="1" customWidth="1"/>
    <col min="14" max="14" width="23.6640625" bestFit="1" customWidth="1"/>
    <col min="16" max="18" width="12.5" bestFit="1" customWidth="1"/>
    <col min="24" max="24" width="12.1640625" bestFit="1" customWidth="1"/>
  </cols>
  <sheetData>
    <row r="1" spans="1:36" ht="15" x14ac:dyDescent="0.3">
      <c r="A1" s="1" t="s">
        <v>0</v>
      </c>
      <c r="B1" s="2" t="s">
        <v>1</v>
      </c>
      <c r="C1" t="s">
        <v>2</v>
      </c>
      <c r="E1" t="s">
        <v>3</v>
      </c>
      <c r="F1" t="s">
        <v>4</v>
      </c>
      <c r="G1" t="s">
        <v>5</v>
      </c>
      <c r="H1" t="s">
        <v>50</v>
      </c>
      <c r="I1" t="s">
        <v>51</v>
      </c>
      <c r="K1" t="s">
        <v>53</v>
      </c>
      <c r="L1" t="s">
        <v>52</v>
      </c>
      <c r="N1" t="s">
        <v>54</v>
      </c>
      <c r="P1" t="s">
        <v>55</v>
      </c>
      <c r="Q1" t="s">
        <v>57</v>
      </c>
      <c r="R1" t="s">
        <v>59</v>
      </c>
      <c r="T1" t="s">
        <v>55</v>
      </c>
      <c r="U1" t="s">
        <v>56</v>
      </c>
      <c r="V1" t="s">
        <v>58</v>
      </c>
      <c r="X1" t="s">
        <v>55</v>
      </c>
      <c r="Y1">
        <v>1.1880707993211023E-8</v>
      </c>
      <c r="Z1">
        <v>1.2673506336753166E-8</v>
      </c>
      <c r="AA1">
        <v>1.199216837983358E-8</v>
      </c>
      <c r="AB1">
        <v>1.2216404886561958E-8</v>
      </c>
      <c r="AC1">
        <v>1.3201616524472385E-8</v>
      </c>
      <c r="AD1">
        <v>1.2769284225156359E-8</v>
      </c>
      <c r="AE1">
        <v>1.8537200504413619E-8</v>
      </c>
      <c r="AF1">
        <v>2.1810089020771508E-8</v>
      </c>
      <c r="AG1">
        <v>2.8999802722430451E-8</v>
      </c>
      <c r="AH1">
        <v>1.361867704280156E-8</v>
      </c>
      <c r="AI1">
        <v>1.4699999999999998E-8</v>
      </c>
      <c r="AJ1">
        <v>1.3920454545454543E-8</v>
      </c>
    </row>
    <row r="2" spans="1:36" ht="18.5" x14ac:dyDescent="0.35">
      <c r="A2" t="s">
        <v>6</v>
      </c>
      <c r="B2" s="3" t="s">
        <v>7</v>
      </c>
      <c r="C2" s="3" t="s">
        <v>8</v>
      </c>
      <c r="D2" s="3"/>
      <c r="E2" t="s">
        <v>9</v>
      </c>
      <c r="G2" t="s">
        <v>10</v>
      </c>
      <c r="H2">
        <v>10</v>
      </c>
      <c r="K2">
        <v>1237.3</v>
      </c>
      <c r="L2">
        <f>AVERAGE(K2:K13)/10</f>
        <v>101.66916666666665</v>
      </c>
      <c r="P2">
        <f>$I$10/K2*10*100</f>
        <v>1.1880707993211023E-8</v>
      </c>
      <c r="Q2">
        <f>$I$12/K2*10*100</f>
        <v>3.0065465125676875E-6</v>
      </c>
      <c r="R2">
        <f>$I$15/K2*1000</f>
        <v>1.382041542067405E-6</v>
      </c>
      <c r="T2">
        <v>1.1880707993211023E-8</v>
      </c>
      <c r="U2">
        <v>3.0065465125676875E-6</v>
      </c>
      <c r="V2">
        <v>1.382041542067405E-6</v>
      </c>
      <c r="X2" t="s">
        <v>56</v>
      </c>
      <c r="Y2">
        <v>3.0065465125676875E-6</v>
      </c>
      <c r="Z2">
        <v>3.2071730321579445E-6</v>
      </c>
      <c r="AA2">
        <v>3.0347528144884982E-6</v>
      </c>
      <c r="AB2">
        <v>3.0914983794564954E-6</v>
      </c>
      <c r="AC2">
        <v>3.340817242927706E-6</v>
      </c>
      <c r="AD2">
        <v>3.2314107018763029E-6</v>
      </c>
      <c r="AE2">
        <v>4.6910466582597733E-6</v>
      </c>
      <c r="AF2">
        <v>5.5192878338278926E-6</v>
      </c>
      <c r="AG2">
        <v>7.338725586900767E-6</v>
      </c>
      <c r="AH2">
        <v>3.4463590883824358E-6</v>
      </c>
      <c r="AI2">
        <v>3.7200000000000004E-6</v>
      </c>
      <c r="AJ2">
        <v>3.5227272727272726E-6</v>
      </c>
    </row>
    <row r="3" spans="1:36" ht="15.5" thickBot="1" x14ac:dyDescent="0.35">
      <c r="A3" s="4" t="s">
        <v>11</v>
      </c>
      <c r="B3" s="1" t="s">
        <v>12</v>
      </c>
      <c r="K3">
        <v>1159.9000000000001</v>
      </c>
      <c r="P3">
        <f t="shared" ref="P3:P15" si="0">$I$10/K3*10*100</f>
        <v>1.2673506336753166E-8</v>
      </c>
      <c r="Q3">
        <f t="shared" ref="Q3:Q13" si="1">$I$12/K3*10*100</f>
        <v>3.2071730321579445E-6</v>
      </c>
      <c r="R3">
        <f t="shared" ref="R3:R13" si="2">$I$15/K3*1000</f>
        <v>1.4742650228467972E-6</v>
      </c>
      <c r="T3">
        <v>1.2673506336753166E-8</v>
      </c>
      <c r="U3">
        <v>3.2071730321579445E-6</v>
      </c>
      <c r="V3">
        <v>1.4742650228467972E-6</v>
      </c>
      <c r="X3" t="s">
        <v>58</v>
      </c>
      <c r="Y3">
        <v>1.382041542067405E-6</v>
      </c>
      <c r="Z3">
        <v>1.4742650228467972E-6</v>
      </c>
      <c r="AA3">
        <v>1.3950073421439064E-6</v>
      </c>
      <c r="AB3">
        <v>1.4210919970082278E-6</v>
      </c>
      <c r="AC3">
        <v>1.5356982487651551E-6</v>
      </c>
      <c r="AD3">
        <v>1.4854065323141071E-6</v>
      </c>
      <c r="AE3">
        <v>2.156368221941993E-6</v>
      </c>
      <c r="AF3">
        <v>2.5370919881305633E-6</v>
      </c>
      <c r="AG3">
        <v>3.373446439139869E-6</v>
      </c>
      <c r="AH3">
        <v>1.5842134519177327E-6</v>
      </c>
      <c r="AI3">
        <v>1.7100000000000001E-6</v>
      </c>
      <c r="AJ3">
        <v>1.619318181818182E-6</v>
      </c>
    </row>
    <row r="4" spans="1:36" ht="18.5" x14ac:dyDescent="0.35">
      <c r="A4" s="4"/>
      <c r="B4" s="5" t="s">
        <v>13</v>
      </c>
      <c r="C4" s="3" t="s">
        <v>14</v>
      </c>
      <c r="D4" s="3"/>
      <c r="E4" s="3" t="s">
        <v>15</v>
      </c>
      <c r="F4" s="3">
        <v>1154.32</v>
      </c>
      <c r="G4" s="6" t="s">
        <v>16</v>
      </c>
      <c r="I4">
        <f>$H$2/1000*D4</f>
        <v>0</v>
      </c>
      <c r="K4">
        <v>1225.7999999999997</v>
      </c>
      <c r="P4">
        <f t="shared" si="0"/>
        <v>1.199216837983358E-8</v>
      </c>
      <c r="Q4">
        <f t="shared" si="1"/>
        <v>3.0347528144884982E-6</v>
      </c>
      <c r="R4">
        <f t="shared" si="2"/>
        <v>1.3950073421439064E-6</v>
      </c>
      <c r="T4">
        <v>1.199216837983358E-8</v>
      </c>
      <c r="U4">
        <v>3.0347528144884982E-6</v>
      </c>
      <c r="V4">
        <v>1.3950073421439064E-6</v>
      </c>
    </row>
    <row r="5" spans="1:36" ht="18.5" x14ac:dyDescent="0.35">
      <c r="A5" s="4"/>
      <c r="B5" s="7"/>
      <c r="C5" s="3" t="s">
        <v>17</v>
      </c>
      <c r="D5" s="3"/>
      <c r="E5" s="3" t="s">
        <v>18</v>
      </c>
      <c r="F5">
        <v>41.56</v>
      </c>
      <c r="G5" s="6"/>
      <c r="I5">
        <f t="shared" ref="I5:I23" si="3">$H$2/1000*D5</f>
        <v>0</v>
      </c>
      <c r="K5">
        <v>1203.2999999999997</v>
      </c>
      <c r="P5">
        <f t="shared" si="0"/>
        <v>1.2216404886561958E-8</v>
      </c>
      <c r="Q5">
        <f t="shared" si="1"/>
        <v>3.0914983794564954E-6</v>
      </c>
      <c r="R5">
        <f t="shared" si="2"/>
        <v>1.4210919970082278E-6</v>
      </c>
      <c r="T5">
        <v>1.2216404886561958E-8</v>
      </c>
      <c r="U5">
        <v>3.0914983794564954E-6</v>
      </c>
      <c r="V5">
        <v>1.4210919970082278E-6</v>
      </c>
    </row>
    <row r="6" spans="1:36" ht="18.5" x14ac:dyDescent="0.35">
      <c r="A6" s="4"/>
      <c r="B6" s="8" t="s">
        <v>19</v>
      </c>
      <c r="C6" s="3" t="s">
        <v>20</v>
      </c>
      <c r="D6" s="3"/>
      <c r="E6" s="3" t="s">
        <v>15</v>
      </c>
      <c r="F6" s="3">
        <v>187</v>
      </c>
      <c r="G6" s="6" t="s">
        <v>21</v>
      </c>
      <c r="I6">
        <f t="shared" si="3"/>
        <v>0</v>
      </c>
      <c r="K6">
        <v>1113.5</v>
      </c>
      <c r="P6">
        <f t="shared" si="0"/>
        <v>1.3201616524472385E-8</v>
      </c>
      <c r="Q6">
        <f t="shared" si="1"/>
        <v>3.340817242927706E-6</v>
      </c>
      <c r="R6">
        <f t="shared" si="2"/>
        <v>1.5356982487651551E-6</v>
      </c>
      <c r="T6">
        <v>1.3201616524472385E-8</v>
      </c>
      <c r="U6">
        <v>3.340817242927706E-6</v>
      </c>
      <c r="V6">
        <v>1.5356982487651551E-6</v>
      </c>
    </row>
    <row r="7" spans="1:36" ht="18.5" x14ac:dyDescent="0.35">
      <c r="A7" s="4"/>
      <c r="B7" s="8"/>
      <c r="C7" s="3" t="s">
        <v>22</v>
      </c>
      <c r="D7" s="3"/>
      <c r="E7" s="3" t="s">
        <v>18</v>
      </c>
      <c r="F7">
        <v>141.13</v>
      </c>
      <c r="G7" s="6"/>
      <c r="I7">
        <f t="shared" si="3"/>
        <v>0</v>
      </c>
      <c r="K7">
        <v>1151.2</v>
      </c>
      <c r="P7">
        <f t="shared" si="0"/>
        <v>1.2769284225156359E-8</v>
      </c>
      <c r="Q7">
        <f t="shared" si="1"/>
        <v>3.2314107018763029E-6</v>
      </c>
      <c r="R7">
        <f t="shared" si="2"/>
        <v>1.4854065323141071E-6</v>
      </c>
      <c r="T7">
        <v>1.2769284225156359E-8</v>
      </c>
      <c r="U7">
        <v>3.2314107018763029E-6</v>
      </c>
      <c r="V7">
        <v>1.4854065323141071E-6</v>
      </c>
    </row>
    <row r="8" spans="1:36" ht="18.5" x14ac:dyDescent="0.35">
      <c r="A8" s="4"/>
      <c r="B8" s="8"/>
      <c r="C8" s="3" t="s">
        <v>23</v>
      </c>
      <c r="D8" s="3"/>
      <c r="E8" s="3" t="s">
        <v>24</v>
      </c>
      <c r="F8" s="3">
        <v>11.84</v>
      </c>
      <c r="G8" s="6"/>
      <c r="I8">
        <f t="shared" si="3"/>
        <v>0</v>
      </c>
      <c r="K8">
        <v>792.99999999999989</v>
      </c>
      <c r="P8">
        <f t="shared" si="0"/>
        <v>1.8537200504413619E-8</v>
      </c>
      <c r="Q8">
        <f t="shared" si="1"/>
        <v>4.6910466582597733E-6</v>
      </c>
      <c r="R8">
        <f t="shared" si="2"/>
        <v>2.156368221941993E-6</v>
      </c>
      <c r="T8">
        <v>1.8537200504413619E-8</v>
      </c>
      <c r="U8">
        <v>4.6910466582597733E-6</v>
      </c>
      <c r="V8">
        <v>2.156368221941993E-6</v>
      </c>
    </row>
    <row r="9" spans="1:36" ht="15" x14ac:dyDescent="0.3">
      <c r="A9" s="4"/>
      <c r="B9" s="1" t="s">
        <v>25</v>
      </c>
      <c r="G9" s="9"/>
      <c r="I9">
        <f t="shared" si="3"/>
        <v>0</v>
      </c>
      <c r="K9">
        <v>674.00000000000011</v>
      </c>
      <c r="P9">
        <f t="shared" si="0"/>
        <v>2.1810089020771508E-8</v>
      </c>
      <c r="Q9">
        <f t="shared" si="1"/>
        <v>5.5192878338278926E-6</v>
      </c>
      <c r="R9">
        <f t="shared" si="2"/>
        <v>2.5370919881305633E-6</v>
      </c>
      <c r="T9">
        <v>2.1810089020771508E-8</v>
      </c>
      <c r="U9">
        <v>5.5192878338278926E-6</v>
      </c>
      <c r="V9">
        <v>2.5370919881305633E-6</v>
      </c>
    </row>
    <row r="10" spans="1:36" ht="18.5" x14ac:dyDescent="0.35">
      <c r="A10" s="4"/>
      <c r="B10" s="7" t="s">
        <v>26</v>
      </c>
      <c r="C10" s="3" t="s">
        <v>27</v>
      </c>
      <c r="D10" s="13">
        <v>1.4699999999999999E-6</v>
      </c>
      <c r="E10" s="3" t="s">
        <v>28</v>
      </c>
      <c r="F10" s="3">
        <v>254421.77</v>
      </c>
      <c r="G10" s="6" t="s">
        <v>29</v>
      </c>
      <c r="I10">
        <f t="shared" si="3"/>
        <v>1.4699999999999999E-8</v>
      </c>
      <c r="K10">
        <v>506.90000000000015</v>
      </c>
      <c r="N10">
        <f>I10/$L$2*100</f>
        <v>1.4458660852601987E-8</v>
      </c>
      <c r="P10">
        <f t="shared" si="0"/>
        <v>2.8999802722430451E-8</v>
      </c>
      <c r="Q10">
        <f t="shared" si="1"/>
        <v>7.338725586900767E-6</v>
      </c>
      <c r="R10">
        <f t="shared" si="2"/>
        <v>3.373446439139869E-6</v>
      </c>
      <c r="T10">
        <v>2.8999802722430451E-8</v>
      </c>
      <c r="U10">
        <v>7.338725586900767E-6</v>
      </c>
      <c r="V10">
        <v>3.373446439139869E-6</v>
      </c>
    </row>
    <row r="11" spans="1:36" ht="18.5" x14ac:dyDescent="0.35">
      <c r="A11" s="4"/>
      <c r="B11" s="7"/>
      <c r="C11" s="3" t="s">
        <v>30</v>
      </c>
      <c r="D11" s="3"/>
      <c r="E11" s="3" t="s">
        <v>18</v>
      </c>
      <c r="F11" s="10">
        <v>2021.6216216216217</v>
      </c>
      <c r="G11" s="6"/>
      <c r="I11">
        <f t="shared" si="3"/>
        <v>0</v>
      </c>
      <c r="K11">
        <v>1079.3999999999996</v>
      </c>
      <c r="P11">
        <f t="shared" si="0"/>
        <v>1.361867704280156E-8</v>
      </c>
      <c r="Q11">
        <f t="shared" si="1"/>
        <v>3.4463590883824358E-6</v>
      </c>
      <c r="R11">
        <f t="shared" si="2"/>
        <v>1.5842134519177327E-6</v>
      </c>
      <c r="T11">
        <v>1.361867704280156E-8</v>
      </c>
      <c r="U11">
        <v>3.4463590883824358E-6</v>
      </c>
      <c r="V11">
        <v>1.5842134519177327E-6</v>
      </c>
    </row>
    <row r="12" spans="1:36" ht="19" thickBot="1" x14ac:dyDescent="0.4">
      <c r="A12" s="4"/>
      <c r="B12" s="7"/>
      <c r="C12" s="11" t="s">
        <v>31</v>
      </c>
      <c r="D12" s="14">
        <v>3.7199999999999999E-4</v>
      </c>
      <c r="E12" s="3" t="s">
        <v>15</v>
      </c>
      <c r="F12" s="10">
        <v>1005.3763440860215</v>
      </c>
      <c r="G12" s="6" t="s">
        <v>32</v>
      </c>
      <c r="I12">
        <f t="shared" si="3"/>
        <v>3.72E-6</v>
      </c>
      <c r="K12">
        <v>1000</v>
      </c>
      <c r="N12">
        <f t="shared" ref="N11:N15" si="4">I12/$L$2*100</f>
        <v>3.6589264198421354E-6</v>
      </c>
      <c r="P12">
        <f t="shared" si="0"/>
        <v>1.4699999999999998E-8</v>
      </c>
      <c r="Q12">
        <f t="shared" si="1"/>
        <v>3.7200000000000004E-6</v>
      </c>
      <c r="R12">
        <f t="shared" si="2"/>
        <v>1.7100000000000001E-6</v>
      </c>
      <c r="T12">
        <v>1.4699999999999998E-8</v>
      </c>
      <c r="U12">
        <v>3.7200000000000004E-6</v>
      </c>
      <c r="V12">
        <v>1.7100000000000001E-6</v>
      </c>
    </row>
    <row r="13" spans="1:36" ht="19" thickTop="1" x14ac:dyDescent="0.35">
      <c r="A13" s="4"/>
      <c r="B13" s="7"/>
      <c r="C13" s="3" t="s">
        <v>33</v>
      </c>
      <c r="D13" s="3"/>
      <c r="E13" s="3" t="s">
        <v>18</v>
      </c>
      <c r="F13" s="10">
        <v>877.9342723004695</v>
      </c>
      <c r="G13" s="6"/>
      <c r="I13">
        <f t="shared" si="3"/>
        <v>0</v>
      </c>
      <c r="K13">
        <v>1056</v>
      </c>
      <c r="P13">
        <f t="shared" si="0"/>
        <v>1.3920454545454543E-8</v>
      </c>
      <c r="Q13">
        <f t="shared" si="1"/>
        <v>3.5227272727272726E-6</v>
      </c>
      <c r="R13">
        <f t="shared" si="2"/>
        <v>1.619318181818182E-6</v>
      </c>
      <c r="T13">
        <v>1.3920454545454543E-8</v>
      </c>
      <c r="U13">
        <v>3.5227272727272726E-6</v>
      </c>
      <c r="V13">
        <v>1.619318181818182E-6</v>
      </c>
    </row>
    <row r="14" spans="1:36" ht="18.5" x14ac:dyDescent="0.35">
      <c r="A14" s="4"/>
      <c r="B14" s="7"/>
      <c r="C14" s="3" t="s">
        <v>34</v>
      </c>
      <c r="D14" s="3"/>
      <c r="E14" s="3" t="s">
        <v>24</v>
      </c>
      <c r="F14" s="10">
        <v>269.06474820143887</v>
      </c>
      <c r="G14" s="6"/>
      <c r="I14">
        <f t="shared" si="3"/>
        <v>0</v>
      </c>
    </row>
    <row r="15" spans="1:36" ht="18.5" x14ac:dyDescent="0.35">
      <c r="A15" s="4"/>
      <c r="B15" s="7"/>
      <c r="C15" s="3" t="s">
        <v>35</v>
      </c>
      <c r="D15" s="13">
        <v>1.7100000000000001E-4</v>
      </c>
      <c r="E15" s="3" t="s">
        <v>15</v>
      </c>
      <c r="F15" s="10">
        <v>2187.1345029239765</v>
      </c>
      <c r="G15" s="4" t="s">
        <v>36</v>
      </c>
      <c r="I15">
        <f t="shared" si="3"/>
        <v>1.7100000000000001E-6</v>
      </c>
      <c r="N15">
        <f t="shared" si="4"/>
        <v>1.6819258542822722E-6</v>
      </c>
    </row>
    <row r="16" spans="1:36" ht="18.5" x14ac:dyDescent="0.35">
      <c r="A16" s="4"/>
      <c r="B16" s="7"/>
      <c r="C16" s="3" t="s">
        <v>37</v>
      </c>
      <c r="D16" s="3"/>
      <c r="E16" s="3" t="s">
        <v>18</v>
      </c>
      <c r="F16" s="10">
        <v>1707.7625570776254</v>
      </c>
      <c r="G16" s="4"/>
      <c r="I16">
        <f t="shared" si="3"/>
        <v>0</v>
      </c>
    </row>
    <row r="17" spans="1:9" ht="18.5" x14ac:dyDescent="0.35">
      <c r="A17" s="4"/>
      <c r="B17" s="7"/>
      <c r="C17" s="3" t="s">
        <v>38</v>
      </c>
      <c r="D17" s="3"/>
      <c r="E17" s="3" t="s">
        <v>24</v>
      </c>
      <c r="F17" s="10">
        <v>621.26245847176085</v>
      </c>
      <c r="G17" s="4"/>
      <c r="I17">
        <f t="shared" si="3"/>
        <v>0</v>
      </c>
    </row>
    <row r="18" spans="1:9" ht="18.5" x14ac:dyDescent="0.35">
      <c r="A18" s="4"/>
      <c r="B18" s="7"/>
      <c r="C18" s="3" t="s">
        <v>39</v>
      </c>
      <c r="D18" s="3"/>
      <c r="E18" s="3" t="s">
        <v>15</v>
      </c>
      <c r="F18" s="10">
        <v>2032.608695652174</v>
      </c>
      <c r="G18" s="4" t="s">
        <v>40</v>
      </c>
      <c r="I18">
        <f t="shared" si="3"/>
        <v>0</v>
      </c>
    </row>
    <row r="19" spans="1:9" ht="18.5" x14ac:dyDescent="0.35">
      <c r="A19" s="4"/>
      <c r="B19" s="7"/>
      <c r="C19" s="3" t="s">
        <v>41</v>
      </c>
      <c r="D19" s="3"/>
      <c r="E19" s="3" t="s">
        <v>18</v>
      </c>
      <c r="F19" s="10">
        <v>0.84044943820224716</v>
      </c>
      <c r="G19" s="4"/>
      <c r="I19">
        <f t="shared" si="3"/>
        <v>0</v>
      </c>
    </row>
    <row r="20" spans="1:9" ht="18.5" x14ac:dyDescent="0.35">
      <c r="A20" s="4"/>
      <c r="B20" s="7" t="s">
        <v>42</v>
      </c>
      <c r="C20" s="3" t="s">
        <v>43</v>
      </c>
      <c r="D20" s="3"/>
      <c r="E20" s="3" t="s">
        <v>15</v>
      </c>
      <c r="F20" s="3">
        <v>757.09</v>
      </c>
      <c r="G20" s="6" t="s">
        <v>44</v>
      </c>
      <c r="I20">
        <f t="shared" si="3"/>
        <v>0</v>
      </c>
    </row>
    <row r="21" spans="1:9" ht="18.5" x14ac:dyDescent="0.35">
      <c r="A21" s="4"/>
      <c r="B21" s="7"/>
      <c r="C21" s="3" t="s">
        <v>45</v>
      </c>
      <c r="D21" s="3"/>
      <c r="E21" s="3" t="s">
        <v>18</v>
      </c>
      <c r="F21" s="10">
        <v>5.0199999999999996</v>
      </c>
      <c r="G21" s="6"/>
      <c r="I21">
        <f t="shared" si="3"/>
        <v>0</v>
      </c>
    </row>
    <row r="22" spans="1:9" ht="18.5" x14ac:dyDescent="0.35">
      <c r="A22" s="4"/>
      <c r="B22" s="7"/>
      <c r="C22" s="3" t="s">
        <v>46</v>
      </c>
      <c r="D22" s="3"/>
      <c r="E22" s="3" t="s">
        <v>24</v>
      </c>
      <c r="F22" s="10">
        <v>0.68</v>
      </c>
      <c r="G22" s="6"/>
      <c r="I22">
        <f t="shared" si="3"/>
        <v>0</v>
      </c>
    </row>
    <row r="23" spans="1:9" ht="18.5" x14ac:dyDescent="0.35">
      <c r="A23" s="4"/>
      <c r="B23" s="3" t="s">
        <v>47</v>
      </c>
      <c r="C23" s="3" t="s">
        <v>48</v>
      </c>
      <c r="D23" s="3"/>
      <c r="E23" s="3" t="s">
        <v>15</v>
      </c>
      <c r="F23" s="3">
        <v>45.16</v>
      </c>
      <c r="G23" s="12" t="s">
        <v>49</v>
      </c>
      <c r="I23">
        <f t="shared" si="3"/>
        <v>0</v>
      </c>
    </row>
  </sheetData>
  <mergeCells count="12">
    <mergeCell ref="B20:B22"/>
    <mergeCell ref="G20:G22"/>
    <mergeCell ref="A3:A23"/>
    <mergeCell ref="B4:B5"/>
    <mergeCell ref="G4:G5"/>
    <mergeCell ref="B6:B8"/>
    <mergeCell ref="G6:G8"/>
    <mergeCell ref="B10:B19"/>
    <mergeCell ref="G10:G11"/>
    <mergeCell ref="G12:G14"/>
    <mergeCell ref="G15:G17"/>
    <mergeCell ref="G18:G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Han</dc:creator>
  <cp:lastModifiedBy>Gao Han</cp:lastModifiedBy>
  <dcterms:created xsi:type="dcterms:W3CDTF">2015-06-05T18:19:34Z</dcterms:created>
  <dcterms:modified xsi:type="dcterms:W3CDTF">2025-09-02T07:57:15Z</dcterms:modified>
</cp:coreProperties>
</file>