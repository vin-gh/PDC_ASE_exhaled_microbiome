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esktop\Article3\Codes\Data\"/>
    </mc:Choice>
  </mc:AlternateContent>
  <xr:revisionPtr revIDLastSave="0" documentId="13_ncr:1_{406CDE69-3F5B-49FB-AC10-E7E18DFECA5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4" i="1" l="1"/>
  <c r="M14" i="1"/>
  <c r="N14" i="1"/>
  <c r="K14" i="1"/>
  <c r="L12" i="1"/>
  <c r="M12" i="1"/>
  <c r="N12" i="1"/>
  <c r="K2" i="1"/>
  <c r="K12" i="1"/>
  <c r="L11" i="1"/>
  <c r="M11" i="1"/>
  <c r="N11" i="1"/>
  <c r="K11" i="1"/>
  <c r="L2" i="1"/>
  <c r="M2" i="1"/>
  <c r="N2" i="1"/>
  <c r="L3" i="1"/>
  <c r="M3" i="1"/>
  <c r="N3" i="1"/>
  <c r="L4" i="1"/>
  <c r="M4" i="1"/>
  <c r="N4" i="1"/>
  <c r="L5" i="1"/>
  <c r="M5" i="1"/>
  <c r="N5" i="1"/>
  <c r="L6" i="1"/>
  <c r="M6" i="1"/>
  <c r="N6" i="1"/>
  <c r="L7" i="1"/>
  <c r="M7" i="1"/>
  <c r="N7" i="1"/>
  <c r="L8" i="1"/>
  <c r="M8" i="1"/>
  <c r="N8" i="1"/>
  <c r="L9" i="1"/>
  <c r="M9" i="1"/>
  <c r="N9" i="1"/>
  <c r="K9" i="1"/>
  <c r="K8" i="1"/>
  <c r="K7" i="1"/>
  <c r="K6" i="1"/>
  <c r="K5" i="1"/>
  <c r="K4" i="1"/>
  <c r="K3" i="1"/>
</calcChain>
</file>

<file path=xl/sharedStrings.xml><?xml version="1.0" encoding="utf-8"?>
<sst xmlns="http://schemas.openxmlformats.org/spreadsheetml/2006/main" count="50" uniqueCount="46">
  <si>
    <t>Sample_Name</t>
  </si>
  <si>
    <t>chao1</t>
  </si>
  <si>
    <t>dominance</t>
  </si>
  <si>
    <t>goods_coverage</t>
  </si>
  <si>
    <t>observed_features</t>
  </si>
  <si>
    <t>pielou_e</t>
  </si>
  <si>
    <t>shannon</t>
  </si>
  <si>
    <t>simpson</t>
  </si>
  <si>
    <t>ASE.V01.A</t>
  </si>
  <si>
    <t>ASE.V01.B</t>
  </si>
  <si>
    <t>ASE.V01.C</t>
  </si>
  <si>
    <t>ASE.V02.A</t>
  </si>
  <si>
    <t>ASE.V02.B</t>
  </si>
  <si>
    <t>ASE.V02.C</t>
  </si>
  <si>
    <t>ASE.V03.A</t>
  </si>
  <si>
    <t>ASE.V03.B</t>
  </si>
  <si>
    <t>ASE.V03.C</t>
  </si>
  <si>
    <t>ASE.V04.A</t>
  </si>
  <si>
    <t>ASE.V04.B</t>
  </si>
  <si>
    <t>ASE.V04.C</t>
  </si>
  <si>
    <t>PDC.V01.5</t>
  </si>
  <si>
    <t>PDC.V01.6</t>
  </si>
  <si>
    <t>PDC.V01.7</t>
  </si>
  <si>
    <t>PDC.V02.5</t>
  </si>
  <si>
    <t>PDC.V02.6</t>
  </si>
  <si>
    <t>PDC.V02.7</t>
  </si>
  <si>
    <t>PDC.V03.5</t>
  </si>
  <si>
    <t>PDC.V03.6</t>
  </si>
  <si>
    <t>PDC.V03.7</t>
  </si>
  <si>
    <t>PDC.V04.5</t>
  </si>
  <si>
    <t>PDC.V04.6</t>
  </si>
  <si>
    <t>PDC.V04.7</t>
  </si>
  <si>
    <t>CV</t>
    <phoneticPr fontId="1" type="noConversion"/>
  </si>
  <si>
    <t>ASE.V01</t>
    <phoneticPr fontId="1" type="noConversion"/>
  </si>
  <si>
    <t>ASE.V02</t>
    <phoneticPr fontId="1" type="noConversion"/>
  </si>
  <si>
    <t>ASE.V03</t>
    <phoneticPr fontId="1" type="noConversion"/>
  </si>
  <si>
    <t>ASE.V04</t>
    <phoneticPr fontId="1" type="noConversion"/>
  </si>
  <si>
    <t>PDC.V01</t>
    <phoneticPr fontId="1" type="noConversion"/>
  </si>
  <si>
    <t>PDC.V02</t>
    <phoneticPr fontId="1" type="noConversion"/>
  </si>
  <si>
    <t>PDC.V03</t>
    <phoneticPr fontId="1" type="noConversion"/>
  </si>
  <si>
    <t>PDC.V04</t>
    <phoneticPr fontId="1" type="noConversion"/>
  </si>
  <si>
    <t>inner Group</t>
    <phoneticPr fontId="1" type="noConversion"/>
  </si>
  <si>
    <t>inter Group</t>
    <phoneticPr fontId="1" type="noConversion"/>
  </si>
  <si>
    <t>ASE</t>
    <phoneticPr fontId="1" type="noConversion"/>
  </si>
  <si>
    <t>PDC</t>
    <phoneticPr fontId="1" type="noConversion"/>
  </si>
  <si>
    <t>ALL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</si>
</sst>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topLeftCell="D1" workbookViewId="0">
      <selection activeCell="O21" sqref="O21"/>
    </sheetView>
  </sheetViews>
  <sheetFormatPr defaultRowHeight="14" x14ac:dyDescent="0.3"/>
  <cols>
    <col min="1" max="1" width="12.6640625" bestFit="1" customWidth="1"/>
    <col min="2" max="2" width="8.1640625" bestFit="1" customWidth="1"/>
    <col min="3" max="3" width="10" bestFit="1" customWidth="1"/>
    <col min="4" max="4" width="14.5" bestFit="1" customWidth="1"/>
    <col min="5" max="5" width="15.75" bestFit="1" customWidth="1"/>
    <col min="6" max="6" width="7.75" bestFit="1" customWidth="1"/>
    <col min="7" max="7" width="7.9140625" bestFit="1" customWidth="1"/>
    <col min="8" max="8" width="7.83203125" bestFit="1" customWidth="1"/>
    <col min="10" max="10" width="10.6640625" bestFit="1" customWidth="1"/>
    <col min="11" max="11" width="12.33203125" bestFit="1" customWidth="1"/>
    <col min="12" max="12" width="15.75" bestFit="1" customWidth="1"/>
    <col min="13" max="14" width="12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32</v>
      </c>
      <c r="K1" s="1" t="s">
        <v>1</v>
      </c>
      <c r="L1" s="1" t="s">
        <v>4</v>
      </c>
      <c r="M1" s="1" t="s">
        <v>6</v>
      </c>
      <c r="N1" s="1" t="s">
        <v>7</v>
      </c>
    </row>
    <row r="2" spans="1:14" x14ac:dyDescent="0.3">
      <c r="A2" t="s">
        <v>8</v>
      </c>
      <c r="B2">
        <v>7</v>
      </c>
      <c r="C2">
        <v>0.98</v>
      </c>
      <c r="D2">
        <v>1</v>
      </c>
      <c r="E2">
        <v>7</v>
      </c>
      <c r="F2">
        <v>3.6999999999999998E-2</v>
      </c>
      <c r="G2">
        <v>0.105</v>
      </c>
      <c r="H2">
        <v>0.02</v>
      </c>
      <c r="J2" t="s">
        <v>33</v>
      </c>
      <c r="K2" s="1">
        <f>_xlfn.STDEV.S(B2:B4)/AVERAGE(B2:B4)</f>
        <v>1.055286662244165</v>
      </c>
      <c r="L2" s="1">
        <f>_xlfn.STDEV.S(E2:E4)/AVERAGE(E2:E4)</f>
        <v>0.94722845834494418</v>
      </c>
      <c r="M2" s="1">
        <f t="shared" ref="M2:N2" si="0">_xlfn.STDEV.S(G2:G4)/AVERAGE(G2:G4)</f>
        <v>0.58651284558803507</v>
      </c>
      <c r="N2" s="1">
        <f t="shared" si="0"/>
        <v>0.57811320347580553</v>
      </c>
    </row>
    <row r="3" spans="1:14" x14ac:dyDescent="0.3">
      <c r="A3" t="s">
        <v>9</v>
      </c>
      <c r="B3">
        <v>6</v>
      </c>
      <c r="C3">
        <v>0.99299999999999999</v>
      </c>
      <c r="D3">
        <v>1</v>
      </c>
      <c r="E3">
        <v>6</v>
      </c>
      <c r="F3">
        <v>1.4E-2</v>
      </c>
      <c r="G3">
        <v>3.5999999999999997E-2</v>
      </c>
      <c r="H3">
        <v>7.0000000000000001E-3</v>
      </c>
      <c r="J3" t="s">
        <v>34</v>
      </c>
      <c r="K3" s="1">
        <f>_xlfn.STDEV.S(B5:B7)/AVERAGE(B5:B7)</f>
        <v>0.76742166508491216</v>
      </c>
      <c r="L3" s="1">
        <f>_xlfn.STDEV.S(E5:E7)/AVERAGE(E5:E7)</f>
        <v>0.78290223534384373</v>
      </c>
      <c r="M3" s="1">
        <f t="shared" ref="M3:N3" si="1">_xlfn.STDEV.S(G5:G7)/AVERAGE(G5:G7)</f>
        <v>0.30195563548407206</v>
      </c>
      <c r="N3" s="1">
        <f t="shared" si="1"/>
        <v>0.28415949962687775</v>
      </c>
    </row>
    <row r="4" spans="1:14" x14ac:dyDescent="0.3">
      <c r="A4" t="s">
        <v>10</v>
      </c>
      <c r="B4">
        <v>36.875</v>
      </c>
      <c r="C4">
        <v>0.97199999999999998</v>
      </c>
      <c r="D4">
        <v>1</v>
      </c>
      <c r="E4">
        <v>30</v>
      </c>
      <c r="F4">
        <v>0.03</v>
      </c>
      <c r="G4">
        <v>0.14799999999999999</v>
      </c>
      <c r="H4">
        <v>2.8000000000000001E-2</v>
      </c>
      <c r="J4" t="s">
        <v>35</v>
      </c>
      <c r="K4" s="1">
        <f>_xlfn.STDEV.S(B8:B10)/AVERAGE(B8:B10)</f>
        <v>0.4593069186555705</v>
      </c>
      <c r="L4" s="1">
        <f>_xlfn.STDEV.S(E8:E10)/AVERAGE(E8:E10)</f>
        <v>0.46337296956388457</v>
      </c>
      <c r="M4" s="1">
        <f t="shared" ref="M4:N4" si="2">_xlfn.STDEV.S(G8:G10)/AVERAGE(G8:G10)</f>
        <v>0.44549011691528806</v>
      </c>
      <c r="N4" s="1">
        <f t="shared" si="2"/>
        <v>0.32636487185976565</v>
      </c>
    </row>
    <row r="5" spans="1:14" x14ac:dyDescent="0.3">
      <c r="A5" t="s">
        <v>11</v>
      </c>
      <c r="B5">
        <v>96</v>
      </c>
      <c r="C5">
        <v>0.106</v>
      </c>
      <c r="D5">
        <v>1</v>
      </c>
      <c r="E5">
        <v>91</v>
      </c>
      <c r="F5">
        <v>0.624</v>
      </c>
      <c r="G5">
        <v>4.0590000000000002</v>
      </c>
      <c r="H5">
        <v>0.89400000000000002</v>
      </c>
      <c r="J5" t="s">
        <v>36</v>
      </c>
      <c r="K5" s="1">
        <f>_xlfn.STDEV.S(B11:B13)/AVERAGE(B11:B13)</f>
        <v>0.36074231616597902</v>
      </c>
      <c r="L5" s="1">
        <f>_xlfn.STDEV.S(E11:E13)/AVERAGE(E11:E13)</f>
        <v>0.33917785470527589</v>
      </c>
      <c r="M5" s="1">
        <f t="shared" ref="M5:N5" si="3">_xlfn.STDEV.S(G11:G13)/AVERAGE(G11:G13)</f>
        <v>0.47808921562664314</v>
      </c>
      <c r="N5" s="1">
        <f t="shared" si="3"/>
        <v>0.34285968366965464</v>
      </c>
    </row>
    <row r="6" spans="1:14" x14ac:dyDescent="0.3">
      <c r="A6" t="s">
        <v>12</v>
      </c>
      <c r="B6">
        <v>216.429</v>
      </c>
      <c r="C6">
        <v>0.17100000000000001</v>
      </c>
      <c r="D6">
        <v>1</v>
      </c>
      <c r="E6">
        <v>216</v>
      </c>
      <c r="F6">
        <v>0.45900000000000002</v>
      </c>
      <c r="G6">
        <v>3.556</v>
      </c>
      <c r="H6">
        <v>0.82899999999999996</v>
      </c>
      <c r="J6" t="s">
        <v>37</v>
      </c>
      <c r="K6" s="1">
        <f>_xlfn.STDEV.S(B14:B16)/AVERAGE(B14:B16)</f>
        <v>0.67840646612281041</v>
      </c>
      <c r="L6" s="1">
        <f>_xlfn.STDEV.S(E14:E16)/AVERAGE(E14:E16)</f>
        <v>0.67481992309494887</v>
      </c>
      <c r="M6" s="1">
        <f t="shared" ref="M6:N6" si="4">_xlfn.STDEV.S(G14:G16)/AVERAGE(G14:G16)</f>
        <v>5.6277602263320785E-2</v>
      </c>
      <c r="N6" s="1">
        <f t="shared" si="4"/>
        <v>0.1665360812985274</v>
      </c>
    </row>
    <row r="7" spans="1:14" x14ac:dyDescent="0.3">
      <c r="A7" t="s">
        <v>13</v>
      </c>
      <c r="B7">
        <v>40</v>
      </c>
      <c r="C7">
        <v>0.499</v>
      </c>
      <c r="D7">
        <v>1</v>
      </c>
      <c r="E7">
        <v>40</v>
      </c>
      <c r="F7">
        <v>0.40600000000000003</v>
      </c>
      <c r="G7">
        <v>2.16</v>
      </c>
      <c r="H7">
        <v>0.501</v>
      </c>
      <c r="J7" t="s">
        <v>38</v>
      </c>
      <c r="K7" s="1">
        <f>_xlfn.STDEV.S(B17:B19)/AVERAGE(B17:B19)</f>
        <v>1.475045417319601</v>
      </c>
      <c r="L7" s="1">
        <f>_xlfn.STDEV.S(E17:E19)/AVERAGE(E17:E19)</f>
        <v>1.4784591077040496</v>
      </c>
      <c r="M7" s="1">
        <f t="shared" ref="M7:N7" si="5">_xlfn.STDEV.S(G17:G19)/AVERAGE(G17:G19)</f>
        <v>0.64122217213397259</v>
      </c>
      <c r="N7" s="1">
        <f t="shared" si="5"/>
        <v>0.30076086820045089</v>
      </c>
    </row>
    <row r="8" spans="1:14" x14ac:dyDescent="0.3">
      <c r="A8" t="s">
        <v>14</v>
      </c>
      <c r="B8">
        <v>68</v>
      </c>
      <c r="C8">
        <v>0.28499999999999998</v>
      </c>
      <c r="D8">
        <v>1</v>
      </c>
      <c r="E8">
        <v>64</v>
      </c>
      <c r="F8">
        <v>0.5</v>
      </c>
      <c r="G8">
        <v>2.9980000000000002</v>
      </c>
      <c r="H8">
        <v>0.71499999999999997</v>
      </c>
      <c r="J8" t="s">
        <v>39</v>
      </c>
      <c r="K8" s="1">
        <f>_xlfn.STDEV.S(B20:B22)/AVERAGE(B20:B22)</f>
        <v>0.31083018139974672</v>
      </c>
      <c r="L8" s="1">
        <f>_xlfn.STDEV.S(E20:E22)/AVERAGE(E20:E22)</f>
        <v>0.26118932993410865</v>
      </c>
      <c r="M8" s="1">
        <f t="shared" ref="M8:N8" si="6">_xlfn.STDEV.S(G20:G22)/AVERAGE(G20:G22)</f>
        <v>0.19903442374926458</v>
      </c>
      <c r="N8" s="1">
        <f t="shared" si="6"/>
        <v>0.28761295972708406</v>
      </c>
    </row>
    <row r="9" spans="1:14" x14ac:dyDescent="0.3">
      <c r="A9" t="s">
        <v>15</v>
      </c>
      <c r="B9">
        <v>93.75</v>
      </c>
      <c r="C9">
        <v>0.214</v>
      </c>
      <c r="D9">
        <v>1</v>
      </c>
      <c r="E9">
        <v>93</v>
      </c>
      <c r="F9">
        <v>0.56100000000000005</v>
      </c>
      <c r="G9">
        <v>3.669</v>
      </c>
      <c r="H9">
        <v>0.78600000000000003</v>
      </c>
      <c r="J9" t="s">
        <v>40</v>
      </c>
      <c r="K9" s="1">
        <f>_xlfn.STDEV.S(B23:B25)/AVERAGE(B23:B25)</f>
        <v>0.56122531777488405</v>
      </c>
      <c r="L9" s="1">
        <f>_xlfn.STDEV.S(E23:E25)/AVERAGE(E23:E25)</f>
        <v>0.55436360654760053</v>
      </c>
      <c r="M9" s="1">
        <f t="shared" ref="M9:N9" si="7">_xlfn.STDEV.S(G23:G25)/AVERAGE(G23:G25)</f>
        <v>0.28776812346020153</v>
      </c>
      <c r="N9" s="1">
        <f t="shared" si="7"/>
        <v>0.41815909986343025</v>
      </c>
    </row>
    <row r="10" spans="1:14" x14ac:dyDescent="0.3">
      <c r="A10" t="s">
        <v>16</v>
      </c>
      <c r="B10">
        <v>34</v>
      </c>
      <c r="C10">
        <v>0.60199999999999998</v>
      </c>
      <c r="D10">
        <v>1</v>
      </c>
      <c r="E10">
        <v>34</v>
      </c>
      <c r="F10">
        <v>0.26600000000000001</v>
      </c>
      <c r="G10">
        <v>1.3540000000000001</v>
      </c>
      <c r="H10">
        <v>0.39800000000000002</v>
      </c>
      <c r="J10" t="s">
        <v>41</v>
      </c>
      <c r="K10" s="1"/>
      <c r="L10" s="1"/>
      <c r="M10" s="1"/>
      <c r="N10" s="1"/>
    </row>
    <row r="11" spans="1:14" x14ac:dyDescent="0.3">
      <c r="A11" t="s">
        <v>17</v>
      </c>
      <c r="B11">
        <v>40</v>
      </c>
      <c r="C11">
        <v>0.55300000000000005</v>
      </c>
      <c r="D11">
        <v>1</v>
      </c>
      <c r="E11">
        <v>40</v>
      </c>
      <c r="F11">
        <v>0.28399999999999997</v>
      </c>
      <c r="G11">
        <v>1.5129999999999999</v>
      </c>
      <c r="H11">
        <v>0.44700000000000001</v>
      </c>
      <c r="J11" t="s">
        <v>43</v>
      </c>
      <c r="K11" s="1">
        <f>_xlfn.STDEV.S(B2:B13)/AVERAGE(B2:B13)</f>
        <v>0.87286406362547453</v>
      </c>
      <c r="L11" s="1">
        <f>_xlfn.STDEV.S(E2:E13)/AVERAGE(E2:E13)</f>
        <v>0.89381146326562055</v>
      </c>
      <c r="M11" s="1">
        <f t="shared" ref="M11:N11" si="8">_xlfn.STDEV.S(G2:G13)/AVERAGE(G2:G13)</f>
        <v>0.71959612913812154</v>
      </c>
      <c r="N11" s="1">
        <f t="shared" si="8"/>
        <v>0.66995146928749605</v>
      </c>
    </row>
    <row r="12" spans="1:14" x14ac:dyDescent="0.3">
      <c r="A12" t="s">
        <v>18</v>
      </c>
      <c r="B12">
        <v>82</v>
      </c>
      <c r="C12">
        <v>0.53400000000000003</v>
      </c>
      <c r="D12">
        <v>1</v>
      </c>
      <c r="E12">
        <v>79</v>
      </c>
      <c r="F12">
        <v>0.26200000000000001</v>
      </c>
      <c r="G12">
        <v>1.653</v>
      </c>
      <c r="H12">
        <v>0.46600000000000003</v>
      </c>
      <c r="J12" t="s">
        <v>44</v>
      </c>
      <c r="K12" s="1">
        <f>_xlfn.STDEV.S(B14:B25)/AVERAGE(B14:B25)</f>
        <v>2.0320421926450103</v>
      </c>
      <c r="L12" s="1">
        <f>_xlfn.STDEV.S(E14:E25)/AVERAGE(E14:E25)</f>
        <v>2.0424005763583128</v>
      </c>
      <c r="M12" s="1">
        <f t="shared" ref="M12:N12" si="9">_xlfn.STDEV.S(G14:G25)/AVERAGE(G14:G25)</f>
        <v>0.51593784564610856</v>
      </c>
      <c r="N12" s="1">
        <f t="shared" si="9"/>
        <v>0.29620230294864519</v>
      </c>
    </row>
    <row r="13" spans="1:14" x14ac:dyDescent="0.3">
      <c r="A13" t="s">
        <v>19</v>
      </c>
      <c r="B13">
        <v>55</v>
      </c>
      <c r="C13">
        <v>0.20599999999999999</v>
      </c>
      <c r="D13">
        <v>1</v>
      </c>
      <c r="E13">
        <v>55</v>
      </c>
      <c r="F13">
        <v>0.58599999999999997</v>
      </c>
      <c r="G13">
        <v>3.3879999999999999</v>
      </c>
      <c r="H13">
        <v>0.79400000000000004</v>
      </c>
      <c r="J13" t="s">
        <v>42</v>
      </c>
      <c r="K13" s="1"/>
      <c r="L13" s="1"/>
      <c r="M13" s="1"/>
      <c r="N13" s="1"/>
    </row>
    <row r="14" spans="1:14" x14ac:dyDescent="0.3">
      <c r="A14" t="s">
        <v>20</v>
      </c>
      <c r="B14">
        <v>166.143</v>
      </c>
      <c r="C14">
        <v>0.44400000000000001</v>
      </c>
      <c r="D14">
        <v>1</v>
      </c>
      <c r="E14">
        <v>164</v>
      </c>
      <c r="F14">
        <v>0.31</v>
      </c>
      <c r="G14">
        <v>2.2839999999999998</v>
      </c>
      <c r="H14">
        <v>0.55600000000000005</v>
      </c>
      <c r="J14" t="s">
        <v>45</v>
      </c>
      <c r="K14" s="1">
        <f>_xlfn.STDEV.S(B2:B25)/AVERAGE(B2:B25)</f>
        <v>2.2442461214317904</v>
      </c>
      <c r="L14" s="1">
        <f>_xlfn.STDEV.S(E2:E25)/AVERAGE(E2:E25)</f>
        <v>2.2551338570697741</v>
      </c>
      <c r="M14" s="1">
        <f t="shared" ref="M14:N14" si="10">_xlfn.STDEV.S(G2:G25)/AVERAGE(G2:G25)</f>
        <v>0.6097699684221356</v>
      </c>
      <c r="N14" s="1">
        <f t="shared" si="10"/>
        <v>0.48511746355023938</v>
      </c>
    </row>
    <row r="15" spans="1:14" x14ac:dyDescent="0.3">
      <c r="A15" t="s">
        <v>21</v>
      </c>
      <c r="B15">
        <v>51.75</v>
      </c>
      <c r="C15">
        <v>0.39200000000000002</v>
      </c>
      <c r="D15">
        <v>1</v>
      </c>
      <c r="E15">
        <v>51</v>
      </c>
      <c r="F15">
        <v>0.41599999999999998</v>
      </c>
      <c r="G15">
        <v>2.3620000000000001</v>
      </c>
      <c r="H15">
        <v>0.60799999999999998</v>
      </c>
    </row>
    <row r="16" spans="1:14" x14ac:dyDescent="0.3">
      <c r="A16" t="s">
        <v>22</v>
      </c>
      <c r="B16">
        <v>62</v>
      </c>
      <c r="C16">
        <v>0.56499999999999995</v>
      </c>
      <c r="D16">
        <v>1</v>
      </c>
      <c r="E16">
        <v>62</v>
      </c>
      <c r="F16">
        <v>0.35499999999999998</v>
      </c>
      <c r="G16">
        <v>2.1139999999999999</v>
      </c>
      <c r="H16">
        <v>0.435</v>
      </c>
    </row>
    <row r="17" spans="1:8" x14ac:dyDescent="0.3">
      <c r="A17" t="s">
        <v>23</v>
      </c>
      <c r="B17">
        <v>102.25</v>
      </c>
      <c r="C17">
        <v>0.40600000000000003</v>
      </c>
      <c r="D17">
        <v>1</v>
      </c>
      <c r="E17">
        <v>97</v>
      </c>
      <c r="F17">
        <v>0.39600000000000002</v>
      </c>
      <c r="G17">
        <v>2.6110000000000002</v>
      </c>
      <c r="H17">
        <v>0.59399999999999997</v>
      </c>
    </row>
    <row r="18" spans="1:8" x14ac:dyDescent="0.3">
      <c r="A18" t="s">
        <v>24</v>
      </c>
      <c r="B18">
        <v>72.2</v>
      </c>
      <c r="C18">
        <v>0.40899999999999997</v>
      </c>
      <c r="D18">
        <v>1</v>
      </c>
      <c r="E18">
        <v>71</v>
      </c>
      <c r="F18">
        <v>0.42499999999999999</v>
      </c>
      <c r="G18">
        <v>2.6150000000000002</v>
      </c>
      <c r="H18">
        <v>0.59099999999999997</v>
      </c>
    </row>
    <row r="19" spans="1:8" x14ac:dyDescent="0.3">
      <c r="A19" t="s">
        <v>25</v>
      </c>
      <c r="B19">
        <v>1587.55</v>
      </c>
      <c r="C19">
        <v>3.4000000000000002E-2</v>
      </c>
      <c r="D19">
        <v>0.998</v>
      </c>
      <c r="E19">
        <v>1552</v>
      </c>
      <c r="F19">
        <v>0.68100000000000005</v>
      </c>
      <c r="G19">
        <v>7.2210000000000001</v>
      </c>
      <c r="H19">
        <v>0.96599999999999997</v>
      </c>
    </row>
    <row r="20" spans="1:8" x14ac:dyDescent="0.3">
      <c r="A20" t="s">
        <v>26</v>
      </c>
      <c r="B20">
        <v>62.2</v>
      </c>
      <c r="C20">
        <v>0.43099999999999999</v>
      </c>
      <c r="D20">
        <v>1</v>
      </c>
      <c r="E20">
        <v>61</v>
      </c>
      <c r="F20">
        <v>0.34699999999999998</v>
      </c>
      <c r="G20">
        <v>2.0590000000000002</v>
      </c>
      <c r="H20">
        <v>0.56899999999999995</v>
      </c>
    </row>
    <row r="21" spans="1:8" x14ac:dyDescent="0.3">
      <c r="A21" t="s">
        <v>27</v>
      </c>
      <c r="B21">
        <v>66</v>
      </c>
      <c r="C21">
        <v>0.311</v>
      </c>
      <c r="D21">
        <v>1</v>
      </c>
      <c r="E21">
        <v>66</v>
      </c>
      <c r="F21">
        <v>0.45600000000000002</v>
      </c>
      <c r="G21">
        <v>2.758</v>
      </c>
      <c r="H21">
        <v>0.68899999999999995</v>
      </c>
    </row>
    <row r="22" spans="1:8" x14ac:dyDescent="0.3">
      <c r="A22" t="s">
        <v>28</v>
      </c>
      <c r="B22">
        <v>106</v>
      </c>
      <c r="C22">
        <v>0.622</v>
      </c>
      <c r="D22">
        <v>1</v>
      </c>
      <c r="E22">
        <v>97</v>
      </c>
      <c r="F22">
        <v>0.29199999999999998</v>
      </c>
      <c r="G22">
        <v>1.925</v>
      </c>
      <c r="H22">
        <v>0.378</v>
      </c>
    </row>
    <row r="23" spans="1:8" x14ac:dyDescent="0.3">
      <c r="A23" t="s">
        <v>29</v>
      </c>
      <c r="B23">
        <v>57.75</v>
      </c>
      <c r="C23">
        <v>0.13100000000000001</v>
      </c>
      <c r="D23">
        <v>1</v>
      </c>
      <c r="E23">
        <v>57</v>
      </c>
      <c r="F23">
        <v>0.59</v>
      </c>
      <c r="G23">
        <v>3.4390000000000001</v>
      </c>
      <c r="H23">
        <v>0.86899999999999999</v>
      </c>
    </row>
    <row r="24" spans="1:8" x14ac:dyDescent="0.3">
      <c r="A24" t="s">
        <v>30</v>
      </c>
      <c r="B24">
        <v>73</v>
      </c>
      <c r="C24">
        <v>0.51400000000000001</v>
      </c>
      <c r="D24">
        <v>1</v>
      </c>
      <c r="E24">
        <v>68</v>
      </c>
      <c r="F24">
        <v>0.37</v>
      </c>
      <c r="G24">
        <v>2.2530000000000001</v>
      </c>
      <c r="H24">
        <v>0.48599999999999999</v>
      </c>
    </row>
    <row r="25" spans="1:8" x14ac:dyDescent="0.3">
      <c r="A25" t="s">
        <v>31</v>
      </c>
      <c r="B25">
        <v>158</v>
      </c>
      <c r="C25">
        <v>0.59</v>
      </c>
      <c r="D25">
        <v>1</v>
      </c>
      <c r="E25">
        <v>150</v>
      </c>
      <c r="F25">
        <v>0.28599999999999998</v>
      </c>
      <c r="G25">
        <v>2.0670000000000002</v>
      </c>
      <c r="H25">
        <v>0.41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 Han</dc:creator>
  <cp:lastModifiedBy>Gao Han</cp:lastModifiedBy>
  <dcterms:created xsi:type="dcterms:W3CDTF">2015-06-05T18:19:34Z</dcterms:created>
  <dcterms:modified xsi:type="dcterms:W3CDTF">2025-12-11T08:19:42Z</dcterms:modified>
</cp:coreProperties>
</file>